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i\Desktop\"/>
    </mc:Choice>
  </mc:AlternateContent>
  <xr:revisionPtr revIDLastSave="0" documentId="13_ncr:1_{35A82EE6-D620-4D49-8471-B2FB4EBEF045}" xr6:coauthVersionLast="47" xr6:coauthVersionMax="47" xr10:uidLastSave="{00000000-0000-0000-0000-000000000000}"/>
  <bookViews>
    <workbookView xWindow="-110" yWindow="-110" windowWidth="19420" windowHeight="10300" xr2:uid="{8F7BF34C-31B1-4415-AA23-61D96A6A7C6F}"/>
  </bookViews>
  <sheets>
    <sheet name="Home" sheetId="1" r:id="rId1"/>
    <sheet name="sale entry" sheetId="2" r:id="rId2"/>
    <sheet name="Stock" sheetId="7" r:id="rId3"/>
    <sheet name="Purchase entry" sheetId="5" r:id="rId4"/>
  </sheets>
  <definedNames>
    <definedName name="_xlnm._FilterDatabase" localSheetId="3" hidden="1">'Purchase entry'!$I$3:$I$8</definedName>
    <definedName name="_xlnm.Criteria" localSheetId="2">Stock!$L$6:$L$7</definedName>
    <definedName name="_xlnm.Extract" localSheetId="2">Stock!$G$4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7" l="1"/>
  <c r="H8" i="7"/>
  <c r="H7" i="7"/>
  <c r="H6" i="7"/>
  <c r="H5" i="7"/>
  <c r="I5" i="7"/>
  <c r="I6" i="7"/>
  <c r="I7" i="7"/>
  <c r="D8" i="1"/>
  <c r="C3" i="1"/>
  <c r="I8" i="7"/>
  <c r="J9" i="7"/>
  <c r="J10" i="7"/>
  <c r="J11" i="7"/>
  <c r="L7" i="7"/>
  <c r="J5" i="7" l="1"/>
  <c r="J6" i="7"/>
  <c r="J7" i="7"/>
</calcChain>
</file>

<file path=xl/sharedStrings.xml><?xml version="1.0" encoding="utf-8"?>
<sst xmlns="http://schemas.openxmlformats.org/spreadsheetml/2006/main" count="53" uniqueCount="22">
  <si>
    <t>Entry type:</t>
  </si>
  <si>
    <t>Bill No.</t>
  </si>
  <si>
    <t>Date</t>
  </si>
  <si>
    <t>Item</t>
  </si>
  <si>
    <t>Qty</t>
  </si>
  <si>
    <t>Rate</t>
  </si>
  <si>
    <t>Bill no.</t>
  </si>
  <si>
    <t>date</t>
  </si>
  <si>
    <t>item</t>
  </si>
  <si>
    <t>qty</t>
  </si>
  <si>
    <t>rate</t>
  </si>
  <si>
    <t>Stock</t>
  </si>
  <si>
    <t>Sales</t>
  </si>
  <si>
    <t>Last Billed:</t>
  </si>
  <si>
    <t>Sales entry</t>
  </si>
  <si>
    <t>Purchase entry</t>
  </si>
  <si>
    <t>keys</t>
  </si>
  <si>
    <t>P Qty</t>
  </si>
  <si>
    <t>S Qty</t>
  </si>
  <si>
    <t>locks</t>
  </si>
  <si>
    <t>mouse</t>
  </si>
  <si>
    <t>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</si>
</sst>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Amasis MT Pro Black"/>
      <family val="1"/>
    </font>
    <font>
      <sz val="20"/>
      <color theme="1"/>
      <name val="Amasis MT Pro Black"/>
      <family val="1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16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/>
    <xf numFmtId="16" fontId="0" fillId="0" borderId="3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3" fontId="0" fillId="0" borderId="2" xfId="0" applyNumberFormat="1" applyBorder="1"/>
    <xf numFmtId="0" fontId="0" fillId="2" borderId="0" xfId="0" applyFill="1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0" fillId="0" borderId="0" xfId="0" applyAlignment="1">
      <alignment vertical="center"/>
    </xf>
    <xf numFmtId="0" fontId="4" fillId="3" borderId="5" xfId="0" applyFont="1" applyFill="1" applyBorder="1"/>
    <xf numFmtId="0" fontId="4" fillId="3" borderId="6" xfId="0" applyFont="1" applyFill="1" applyBorder="1"/>
    <xf numFmtId="0" fontId="4" fillId="3" borderId="7" xfId="0" applyFont="1" applyFill="1" applyBorder="1"/>
    <xf numFmtId="0" fontId="1" fillId="2" borderId="1" xfId="0" applyFont="1" applyFill="1" applyBorder="1"/>
    <xf numFmtId="16" fontId="0" fillId="0" borderId="2" xfId="0" applyNumberFormat="1" applyBorder="1"/>
    <xf numFmtId="0" fontId="0" fillId="0" borderId="2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0" borderId="0" xfId="0" applyFont="1"/>
    <xf numFmtId="0" fontId="1" fillId="4" borderId="3" xfId="0" applyFont="1" applyFill="1" applyBorder="1"/>
    <xf numFmtId="0" fontId="0" fillId="4" borderId="3" xfId="0" applyFill="1" applyBorder="1"/>
    <xf numFmtId="0" fontId="2" fillId="5" borderId="0" xfId="0" applyFont="1" applyFill="1" applyAlignment="1">
      <alignment horizontal="center" vertical="center"/>
    </xf>
    <xf numFmtId="0" fontId="0" fillId="2" borderId="1" xfId="0" applyFill="1" applyBorder="1"/>
    <xf numFmtId="0" fontId="3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vertical="center" wrapText="1"/>
    </xf>
    <xf numFmtId="0" fontId="1" fillId="6" borderId="1" xfId="0" applyFont="1" applyFill="1" applyBorder="1"/>
  </cellXfs>
  <cellStyles count="1">
    <cellStyle name="Normal" xfId="0" builtinId="0"/>
  </cellStyles>
  <dxfs count="15"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1" formatCode="dd/m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1" formatCode="dd/m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'Purchase entry'!A1"/><Relationship Id="rId1" Type="http://schemas.openxmlformats.org/officeDocument/2006/relationships/hyperlink" Target="#'sale entry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184150</xdr:colOff>
      <xdr:row>10</xdr:row>
      <xdr:rowOff>88900</xdr:rowOff>
    </xdr:from>
    <xdr:to>
      <xdr:col>2</xdr:col>
      <xdr:colOff>171450</xdr:colOff>
      <xdr:row>12</xdr:row>
      <xdr:rowOff>114300</xdr:rowOff>
    </xdr:to>
    <xdr:sp macro="[0]!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C281607-B41A-65C1-78AB-382F393B178B}"/>
            </a:ext>
          </a:extLst>
        </xdr:cNvPr>
        <xdr:cNvSpPr/>
      </xdr:nvSpPr>
      <xdr:spPr>
        <a:xfrm>
          <a:off x="184150" y="1930400"/>
          <a:ext cx="1162050" cy="393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entry</a:t>
          </a:r>
        </a:p>
      </xdr:txBody>
    </xdr:sp>
    <xdr:clientData/>
  </xdr:twoCellAnchor>
  <xdr:twoCellAnchor>
    <xdr:from>
      <xdr:col>2</xdr:col>
      <xdr:colOff>501650</xdr:colOff>
      <xdr:row>10</xdr:row>
      <xdr:rowOff>82550</xdr:rowOff>
    </xdr:from>
    <xdr:to>
      <xdr:col>3</xdr:col>
      <xdr:colOff>927100</xdr:colOff>
      <xdr:row>12</xdr:row>
      <xdr:rowOff>114300</xdr:rowOff>
    </xdr:to>
    <xdr:sp macro="[0]!Salessss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47790A-F0EA-4918-A838-C544BB84080E}"/>
            </a:ext>
          </a:extLst>
        </xdr:cNvPr>
        <xdr:cNvSpPr/>
      </xdr:nvSpPr>
      <xdr:spPr>
        <a:xfrm>
          <a:off x="1676400" y="1924050"/>
          <a:ext cx="103505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entry</a:t>
          </a:r>
        </a:p>
      </xdr:txBody>
    </xdr:sp>
    <xdr:clientData/>
  </xdr:twoCellAnchor>
  <xdr:twoCellAnchor>
    <xdr:from>
      <xdr:col>3</xdr:col>
      <xdr:colOff>1022350</xdr:colOff>
      <xdr:row>2</xdr:row>
      <xdr:rowOff>101600</xdr:rowOff>
    </xdr:from>
    <xdr:to>
      <xdr:col>4</xdr:col>
      <xdr:colOff>425450</xdr:colOff>
      <xdr:row>4</xdr:row>
      <xdr:rowOff>12700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92C0FD-3693-6ABF-DBD1-A3AA868CC2EC}"/>
            </a:ext>
          </a:extLst>
        </xdr:cNvPr>
        <xdr:cNvSpPr/>
      </xdr:nvSpPr>
      <xdr:spPr>
        <a:xfrm>
          <a:off x="2806700" y="469900"/>
          <a:ext cx="546100" cy="279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</a:t>
          </a:r>
        </a:p>
      </xdr:txBody>
    </xdr:sp>
    <xdr:clientData/>
  </xdr:twoCellAnchor>
  <xdr:twoCellAnchor>
    <xdr:from>
      <xdr:col>3</xdr:col>
      <xdr:colOff>984250</xdr:colOff>
      <xdr:row>4</xdr:row>
      <xdr:rowOff>133350</xdr:rowOff>
    </xdr:from>
    <xdr:to>
      <xdr:col>5</xdr:col>
      <xdr:colOff>0</xdr:colOff>
      <xdr:row>6</xdr:row>
      <xdr:rowOff>44450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22EE24-7B37-49F8-8314-4EEB395D20D2}"/>
            </a:ext>
          </a:extLst>
        </xdr:cNvPr>
        <xdr:cNvSpPr/>
      </xdr:nvSpPr>
      <xdr:spPr>
        <a:xfrm>
          <a:off x="2768600" y="869950"/>
          <a:ext cx="768350" cy="279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</a:t>
          </a:r>
        </a:p>
      </xdr:txBody>
    </xdr:sp>
    <xdr:clientData/>
  </xdr:twoCellAnchor>
  <xdr:twoCellAnchor>
    <xdr:from>
      <xdr:col>3</xdr:col>
      <xdr:colOff>984250</xdr:colOff>
      <xdr:row>7</xdr:row>
      <xdr:rowOff>0</xdr:rowOff>
    </xdr:from>
    <xdr:to>
      <xdr:col>5</xdr:col>
      <xdr:colOff>0</xdr:colOff>
      <xdr:row>8</xdr:row>
      <xdr:rowOff>95250</xdr:rowOff>
    </xdr:to>
    <xdr:sp macro="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E06879-C135-4B30-9923-4417FB9722F4}"/>
            </a:ext>
          </a:extLst>
        </xdr:cNvPr>
        <xdr:cNvSpPr/>
      </xdr:nvSpPr>
      <xdr:spPr>
        <a:xfrm>
          <a:off x="2768600" y="1289050"/>
          <a:ext cx="768350" cy="279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3</xdr:row>
      <xdr:rowOff>0</xdr:rowOff>
    </xdr:from>
    <xdr:to>
      <xdr:col>13</xdr:col>
      <xdr:colOff>444500</xdr:colOff>
      <xdr:row>4</xdr:row>
      <xdr:rowOff>133350</xdr:rowOff>
    </xdr:to>
    <xdr:sp macro="[0]!re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138C86-8F58-FDCF-D13D-CCFEB0C398D4}"/>
            </a:ext>
          </a:extLst>
        </xdr:cNvPr>
        <xdr:cNvSpPr/>
      </xdr:nvSpPr>
      <xdr:spPr>
        <a:xfrm>
          <a:off x="6762750" y="552450"/>
          <a:ext cx="996950" cy="3175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ysClr val="windowText" lastClr="000000"/>
              </a:solidFill>
              <a:latin typeface="Amasis MT Pro Black" panose="02040A04050005020304" pitchFamily="18" charset="0"/>
            </a:rPr>
            <a:t>Refresh</a:t>
          </a:r>
          <a:endParaRPr lang="en-IN" sz="1200" b="1">
            <a:solidFill>
              <a:sysClr val="windowText" lastClr="000000"/>
            </a:solidFill>
            <a:latin typeface="Amasis MT Pro Black" panose="02040A040500050203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C24030-A7AB-4154-B607-3AD71B94B72D}" name="Table3" displayName="Table3" ref="G3:K44" totalsRowShown="0" tableBorderDxfId="14">
  <autoFilter ref="G3:K44" xr:uid="{5AC24030-A7AB-4154-B607-3AD71B94B72D}"/>
  <tableColumns count="5">
    <tableColumn id="1" xr3:uid="{C86C6268-A625-4090-B309-CD3BB6607359}" name="Bill no." dataDxfId="13"/>
    <tableColumn id="2" xr3:uid="{9F04B53B-028E-4F3B-836B-2B2BFD7514AE}" name="date" dataDxfId="12"/>
    <tableColumn id="3" xr3:uid="{1711A9F3-6B83-4CF0-8D9A-ABECE0C28D59}" name="item" dataDxfId="11"/>
    <tableColumn id="4" xr3:uid="{180ABED0-90C9-4280-8512-4D4B499D936E}" name="qty" dataDxfId="10"/>
    <tableColumn id="5" xr3:uid="{88B7F1AF-BD87-4863-B11C-2CEC43D5BEE6}" name="rate" dataDxfId="9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C00BC4-F84E-49C7-9EBF-AB08D8942584}" name="Table7" displayName="Table7" ref="G4:J47" totalsRowShown="0">
  <tableColumns count="4">
    <tableColumn id="1" xr3:uid="{C276A05C-D3CD-41DD-8746-4B281E663BFC}" name="Item"/>
    <tableColumn id="2" xr3:uid="{0E3F5AAC-C784-44ED-B59E-687A437A35F6}" name="P Qty" dataDxfId="8">
      <calculatedColumnFormula>SUMIF(R16:R20,Table7[[#This Row],[Item]],S16:S20)</calculatedColumnFormula>
    </tableColumn>
    <tableColumn id="3" xr3:uid="{EFDC817E-AF08-4A7E-911D-43A39A0A1774}" name="S Qty" dataDxfId="7">
      <calculatedColumnFormula>SUMIF(R22:R24,Table7[[#This Row],[Item]],S22:S24)</calculatedColumnFormula>
    </tableColumn>
    <tableColumn id="4" xr3:uid="{D2D98125-2625-45B3-83B3-2A734045D213}" name="Stock" dataDxfId="6">
      <calculatedColumnFormula>Table7[[#This Row],[P Qty]]-Table7[[#This Row],[S Qty]]</calculatedColumnFormula>
    </tableColumn>
  </tableColumns>
  <tableStyleInfo name="TableStyleLight9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C10D0B-BF4D-49D2-8FBC-ADD66649F01B}" name="Table35" displayName="Table35" ref="G3:K31" totalsRowShown="0" tableBorderDxfId="5">
  <tableColumns count="5">
    <tableColumn id="1" xr3:uid="{BA6D46C2-EFA6-467D-9456-7F2A47C818E9}" name="Bill no." dataDxfId="4"/>
    <tableColumn id="2" xr3:uid="{29CC1325-7140-49DB-8D0C-EFC431B23B6E}" name="date" dataDxfId="3"/>
    <tableColumn id="3" xr3:uid="{DBB4FB96-3EC7-4BC4-B87C-8BB600CCBA4C}" name="item" dataDxfId="2"/>
    <tableColumn id="4" xr3:uid="{FB180662-0A78-4A33-8A7F-4B65D1C81EFC}" name="qty" dataDxfId="1"/>
    <tableColumn id="5" xr3:uid="{3970E2A0-58B9-4FF7-B50F-2AC569E1FD33}" name="rate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73E1F-8486-4220-B697-5ECEB2680BBE}">
  <sheetPr codeName="Sheet1"/>
  <dimension ref="A2:D9"/>
  <sheetViews>
    <sheetView tabSelected="1" workbookViewId="0">
      <selection activeCell="I13" sqref="I13"/>
    </sheetView>
  </sheetViews>
  <sheetFormatPr defaultRowHeight="14.5" x14ac:dyDescent="0.35"/>
  <cols>
    <col min="1" max="1" width="12.453125" customWidth="1"/>
    <col min="2" max="2" width="4.36328125" customWidth="1"/>
    <col min="4" max="4" width="16.36328125" bestFit="1" customWidth="1"/>
  </cols>
  <sheetData>
    <row r="2" spans="1:4" x14ac:dyDescent="0.35">
      <c r="A2" s="29" t="s">
        <v>0</v>
      </c>
      <c r="B2" s="10"/>
      <c r="C2" s="30" t="s">
        <v>12</v>
      </c>
    </row>
    <row r="3" spans="1:4" x14ac:dyDescent="0.35">
      <c r="A3" s="24" t="s">
        <v>13</v>
      </c>
      <c r="C3" s="25">
        <f>IF(C2="purchase",MAX('Purchase entry'!G3:G7),MAX('sale entry'!G3:G7))</f>
        <v>7</v>
      </c>
    </row>
    <row r="4" spans="1:4" x14ac:dyDescent="0.35">
      <c r="A4" s="11"/>
      <c r="C4" s="12"/>
    </row>
    <row r="5" spans="1:4" x14ac:dyDescent="0.35">
      <c r="A5" s="1" t="s">
        <v>1</v>
      </c>
      <c r="C5" s="1"/>
    </row>
    <row r="6" spans="1:4" x14ac:dyDescent="0.35">
      <c r="A6" s="1" t="s">
        <v>2</v>
      </c>
      <c r="C6" s="2"/>
    </row>
    <row r="7" spans="1:4" x14ac:dyDescent="0.35">
      <c r="A7" s="1" t="s">
        <v>3</v>
      </c>
      <c r="C7" s="3"/>
    </row>
    <row r="8" spans="1:4" x14ac:dyDescent="0.35">
      <c r="A8" s="1" t="s">
        <v>4</v>
      </c>
      <c r="C8" s="1"/>
      <c r="D8" s="23" t="str">
        <f>IFERROR(IF(C2="Sales",IF(VLOOKUP(C7,Stock!G4:J8,4,0)&lt;C8,"Stock not available",""),""),"")</f>
        <v/>
      </c>
    </row>
    <row r="9" spans="1:4" x14ac:dyDescent="0.35">
      <c r="A9" s="1" t="s">
        <v>5</v>
      </c>
      <c r="C9" s="9"/>
    </row>
  </sheetData>
  <dataValidations count="1">
    <dataValidation type="list" allowBlank="1" showInputMessage="1" showErrorMessage="1" sqref="C2" xr:uid="{37B6BEA1-2AB3-4557-8913-C473F54B9A17}">
      <formula1>"Sales,Purchase"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B0063-E1DD-4E24-BBB6-63C198486B9E}">
  <sheetPr codeName="Sheet2"/>
  <dimension ref="G1:K45"/>
  <sheetViews>
    <sheetView workbookViewId="0"/>
  </sheetViews>
  <sheetFormatPr defaultRowHeight="14.5" x14ac:dyDescent="0.35"/>
  <sheetData>
    <row r="1" spans="7:11" ht="14.5" customHeight="1" x14ac:dyDescent="0.35">
      <c r="G1" s="26" t="s">
        <v>14</v>
      </c>
      <c r="H1" s="26"/>
      <c r="I1" s="26"/>
      <c r="J1" s="26"/>
      <c r="K1" s="26"/>
    </row>
    <row r="2" spans="7:11" x14ac:dyDescent="0.35">
      <c r="G2" s="26"/>
      <c r="H2" s="26"/>
      <c r="I2" s="26"/>
      <c r="J2" s="26"/>
      <c r="K2" s="26"/>
    </row>
    <row r="3" spans="7:11" x14ac:dyDescent="0.35">
      <c r="G3" t="s">
        <v>6</v>
      </c>
      <c r="H3" t="s">
        <v>7</v>
      </c>
      <c r="I3" t="s">
        <v>8</v>
      </c>
      <c r="J3" t="s">
        <v>9</v>
      </c>
      <c r="K3" t="s">
        <v>10</v>
      </c>
    </row>
    <row r="4" spans="7:11" x14ac:dyDescent="0.35">
      <c r="G4" s="1">
        <v>7</v>
      </c>
      <c r="H4" s="2">
        <v>44951</v>
      </c>
      <c r="I4" s="3" t="s">
        <v>21</v>
      </c>
      <c r="J4" s="1">
        <v>10</v>
      </c>
      <c r="K4" s="9">
        <v>20000</v>
      </c>
    </row>
    <row r="5" spans="7:11" x14ac:dyDescent="0.35">
      <c r="G5" s="1">
        <v>4</v>
      </c>
      <c r="H5" s="2">
        <v>44933</v>
      </c>
      <c r="I5" s="3" t="s">
        <v>16</v>
      </c>
      <c r="J5" s="1">
        <v>8</v>
      </c>
      <c r="K5" s="9">
        <v>75</v>
      </c>
    </row>
    <row r="6" spans="7:11" x14ac:dyDescent="0.35">
      <c r="G6" s="1">
        <v>3</v>
      </c>
      <c r="H6" s="2">
        <v>44932</v>
      </c>
      <c r="I6" s="3" t="s">
        <v>19</v>
      </c>
      <c r="J6" s="1">
        <v>20</v>
      </c>
      <c r="K6" s="9">
        <v>80</v>
      </c>
    </row>
    <row r="7" spans="7:11" x14ac:dyDescent="0.35">
      <c r="G7" s="1">
        <v>1</v>
      </c>
      <c r="H7" s="2">
        <v>44928</v>
      </c>
      <c r="I7" s="3" t="s">
        <v>20</v>
      </c>
      <c r="J7" s="1">
        <v>21</v>
      </c>
      <c r="K7" s="9">
        <v>750</v>
      </c>
    </row>
    <row r="8" spans="7:11" x14ac:dyDescent="0.35">
      <c r="G8" s="1"/>
      <c r="H8" s="2"/>
      <c r="I8" s="3"/>
      <c r="J8" s="1"/>
      <c r="K8" s="1"/>
    </row>
    <row r="9" spans="7:11" x14ac:dyDescent="0.35">
      <c r="G9" s="1"/>
      <c r="H9" s="2"/>
      <c r="I9" s="3"/>
      <c r="J9" s="1"/>
      <c r="K9" s="1"/>
    </row>
    <row r="10" spans="7:11" x14ac:dyDescent="0.35">
      <c r="G10" s="1"/>
      <c r="H10" s="2"/>
      <c r="I10" s="3"/>
      <c r="J10" s="1"/>
      <c r="K10" s="9"/>
    </row>
    <row r="11" spans="7:11" x14ac:dyDescent="0.35">
      <c r="G11" s="1"/>
      <c r="H11" s="2"/>
      <c r="I11" s="3"/>
      <c r="J11" s="1"/>
      <c r="K11" s="9"/>
    </row>
    <row r="12" spans="7:11" x14ac:dyDescent="0.35">
      <c r="G12" s="1"/>
      <c r="H12" s="2"/>
      <c r="I12" s="3"/>
      <c r="J12" s="1"/>
      <c r="K12" s="9"/>
    </row>
    <row r="13" spans="7:11" x14ac:dyDescent="0.35">
      <c r="G13" s="1"/>
      <c r="H13" s="2"/>
      <c r="I13" s="3"/>
      <c r="J13" s="1"/>
      <c r="K13" s="9"/>
    </row>
    <row r="14" spans="7:11" x14ac:dyDescent="0.35">
      <c r="G14" s="1"/>
      <c r="H14" s="2"/>
      <c r="I14" s="3"/>
      <c r="J14" s="1"/>
      <c r="K14" s="9"/>
    </row>
    <row r="15" spans="7:11" x14ac:dyDescent="0.35">
      <c r="G15" s="1"/>
      <c r="H15" s="2"/>
      <c r="I15" s="3"/>
      <c r="J15" s="1"/>
      <c r="K15" s="9"/>
    </row>
    <row r="16" spans="7:11" x14ac:dyDescent="0.35">
      <c r="G16" s="1"/>
      <c r="H16" s="2"/>
      <c r="I16" s="3"/>
      <c r="J16" s="1"/>
      <c r="K16" s="9"/>
    </row>
    <row r="17" spans="7:11" x14ac:dyDescent="0.35">
      <c r="G17" s="1"/>
      <c r="H17" s="2"/>
      <c r="I17" s="3"/>
      <c r="J17" s="1"/>
      <c r="K17" s="9"/>
    </row>
    <row r="18" spans="7:11" x14ac:dyDescent="0.35">
      <c r="G18" s="1"/>
      <c r="H18" s="2"/>
      <c r="I18" s="3"/>
      <c r="J18" s="1"/>
      <c r="K18" s="9"/>
    </row>
    <row r="19" spans="7:11" x14ac:dyDescent="0.35">
      <c r="G19" s="1"/>
      <c r="H19" s="2"/>
      <c r="I19" s="3"/>
      <c r="J19" s="1"/>
      <c r="K19" s="9"/>
    </row>
    <row r="20" spans="7:11" x14ac:dyDescent="0.35">
      <c r="G20" s="1"/>
      <c r="H20" s="2"/>
      <c r="I20" s="3"/>
      <c r="J20" s="1"/>
      <c r="K20" s="9"/>
    </row>
    <row r="21" spans="7:11" x14ac:dyDescent="0.35">
      <c r="G21" s="17"/>
      <c r="H21" s="17"/>
      <c r="I21" s="17"/>
      <c r="J21" s="17"/>
      <c r="K21" s="17"/>
    </row>
    <row r="22" spans="7:11" x14ac:dyDescent="0.35">
      <c r="G22" s="17"/>
      <c r="H22" s="17"/>
      <c r="I22" s="17"/>
      <c r="J22" s="17"/>
      <c r="K22" s="17"/>
    </row>
    <row r="23" spans="7:11" x14ac:dyDescent="0.35">
      <c r="G23" s="20"/>
      <c r="H23" s="21"/>
      <c r="I23" s="21"/>
      <c r="J23" s="21"/>
      <c r="K23" s="22"/>
    </row>
    <row r="24" spans="7:11" x14ac:dyDescent="0.35">
      <c r="G24" s="4"/>
      <c r="H24" s="18"/>
      <c r="I24" s="19"/>
      <c r="J24" s="4"/>
      <c r="K24" s="9"/>
    </row>
    <row r="25" spans="7:11" x14ac:dyDescent="0.35">
      <c r="G25" s="1"/>
      <c r="H25" s="2"/>
      <c r="I25" s="3"/>
      <c r="J25" s="1"/>
      <c r="K25" s="9"/>
    </row>
    <row r="26" spans="7:11" x14ac:dyDescent="0.35">
      <c r="G26" s="9"/>
      <c r="H26" s="2"/>
      <c r="I26" s="3"/>
      <c r="J26" s="1"/>
      <c r="K26" s="9"/>
    </row>
    <row r="27" spans="7:11" x14ac:dyDescent="0.35">
      <c r="G27" s="1"/>
      <c r="H27" s="2"/>
      <c r="I27" s="3"/>
      <c r="J27" s="1"/>
      <c r="K27" s="9"/>
    </row>
    <row r="28" spans="7:11" x14ac:dyDescent="0.35">
      <c r="G28" s="1"/>
      <c r="H28" s="2"/>
      <c r="I28" s="3"/>
      <c r="J28" s="1"/>
      <c r="K28" s="4"/>
    </row>
    <row r="29" spans="7:11" x14ac:dyDescent="0.35">
      <c r="G29" s="1"/>
      <c r="H29" s="2"/>
      <c r="I29" s="3"/>
      <c r="J29" s="1"/>
      <c r="K29" s="9"/>
    </row>
    <row r="30" spans="7:11" x14ac:dyDescent="0.35">
      <c r="G30" s="1"/>
      <c r="H30" s="2"/>
      <c r="I30" s="3"/>
      <c r="J30" s="1"/>
      <c r="K30" s="9"/>
    </row>
    <row r="31" spans="7:11" x14ac:dyDescent="0.35">
      <c r="G31" s="1"/>
      <c r="H31" s="2"/>
      <c r="I31" s="3"/>
      <c r="J31" s="1"/>
      <c r="K31" s="4"/>
    </row>
    <row r="32" spans="7:11" x14ac:dyDescent="0.35">
      <c r="G32" s="1"/>
      <c r="H32" s="2"/>
      <c r="I32" s="3"/>
      <c r="J32" s="1"/>
      <c r="K32" s="4"/>
    </row>
    <row r="33" spans="7:11" x14ac:dyDescent="0.35">
      <c r="G33" s="1"/>
      <c r="H33" s="2"/>
      <c r="I33" s="3"/>
      <c r="J33" s="1"/>
      <c r="K33" s="4"/>
    </row>
    <row r="34" spans="7:11" x14ac:dyDescent="0.35">
      <c r="G34" s="1"/>
      <c r="H34" s="2"/>
      <c r="I34" s="3"/>
      <c r="J34" s="1"/>
      <c r="K34" s="4"/>
    </row>
    <row r="35" spans="7:11" x14ac:dyDescent="0.35">
      <c r="G35" s="1"/>
      <c r="H35" s="2"/>
      <c r="I35" s="3"/>
      <c r="J35" s="1"/>
      <c r="K35" s="4"/>
    </row>
    <row r="36" spans="7:11" x14ac:dyDescent="0.35">
      <c r="G36" s="1"/>
      <c r="H36" s="2"/>
      <c r="I36" s="3"/>
      <c r="J36" s="1"/>
      <c r="K36" s="4"/>
    </row>
    <row r="37" spans="7:11" x14ac:dyDescent="0.35">
      <c r="G37" s="1"/>
      <c r="H37" s="2"/>
      <c r="I37" s="3"/>
      <c r="J37" s="1"/>
      <c r="K37" s="4"/>
    </row>
    <row r="38" spans="7:11" x14ac:dyDescent="0.35">
      <c r="G38" s="1"/>
      <c r="H38" s="2"/>
      <c r="I38" s="3"/>
      <c r="J38" s="1"/>
      <c r="K38" s="4"/>
    </row>
    <row r="39" spans="7:11" x14ac:dyDescent="0.35">
      <c r="G39" s="1"/>
      <c r="H39" s="2"/>
      <c r="I39" s="3"/>
      <c r="J39" s="1"/>
      <c r="K39" s="4"/>
    </row>
    <row r="40" spans="7:11" x14ac:dyDescent="0.35">
      <c r="G40" s="1"/>
      <c r="H40" s="2"/>
      <c r="I40" s="3"/>
      <c r="J40" s="1"/>
      <c r="K40" s="4"/>
    </row>
    <row r="41" spans="7:11" x14ac:dyDescent="0.35">
      <c r="G41" s="1"/>
      <c r="H41" s="2"/>
      <c r="I41" s="3"/>
      <c r="J41" s="1"/>
      <c r="K41" s="4"/>
    </row>
    <row r="42" spans="7:11" x14ac:dyDescent="0.35">
      <c r="G42" s="1"/>
      <c r="H42" s="2"/>
      <c r="I42" s="3"/>
      <c r="J42" s="1"/>
      <c r="K42" s="4"/>
    </row>
    <row r="43" spans="7:11" x14ac:dyDescent="0.35">
      <c r="G43" s="1"/>
      <c r="H43" s="2"/>
      <c r="I43" s="3"/>
      <c r="J43" s="1"/>
      <c r="K43" s="4"/>
    </row>
    <row r="44" spans="7:11" x14ac:dyDescent="0.35">
      <c r="G44" s="5"/>
      <c r="H44" s="6"/>
      <c r="I44" s="7"/>
      <c r="J44" s="5"/>
      <c r="K44" s="8"/>
    </row>
    <row r="45" spans="7:11" x14ac:dyDescent="0.35">
      <c r="G45" s="1"/>
      <c r="H45" s="2"/>
      <c r="I45" s="3"/>
      <c r="J45" s="1"/>
      <c r="K45" s="4"/>
    </row>
  </sheetData>
  <mergeCells count="1">
    <mergeCell ref="G1:K2"/>
  </mergeCells>
  <dataValidations count="1">
    <dataValidation type="list" allowBlank="1" showInputMessage="1" showErrorMessage="1" sqref="G21:K22" xr:uid="{C3199BA0-A9C7-4950-B384-9B80436B7521}">
      <formula1>"Sales,Purchase"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8CAC-4E7E-4A86-92B3-BBFA678CD932}">
  <sheetPr codeName="Sheet7"/>
  <dimension ref="F1:T28"/>
  <sheetViews>
    <sheetView workbookViewId="0"/>
  </sheetViews>
  <sheetFormatPr defaultRowHeight="14.5" x14ac:dyDescent="0.35"/>
  <cols>
    <col min="12" max="12" width="0" hidden="1" customWidth="1"/>
    <col min="16" max="20" width="0" hidden="1" customWidth="1"/>
  </cols>
  <sheetData>
    <row r="1" spans="6:20" ht="14.5" customHeight="1" x14ac:dyDescent="0.35">
      <c r="G1" s="28" t="s">
        <v>11</v>
      </c>
      <c r="H1" s="28"/>
      <c r="I1" s="28"/>
      <c r="J1" s="28"/>
    </row>
    <row r="2" spans="6:20" ht="14.5" customHeight="1" x14ac:dyDescent="0.35">
      <c r="G2" s="28"/>
      <c r="H2" s="28"/>
      <c r="I2" s="28"/>
      <c r="J2" s="28"/>
    </row>
    <row r="3" spans="6:20" ht="14.5" customHeight="1" x14ac:dyDescent="0.35">
      <c r="G3" s="28"/>
      <c r="H3" s="28"/>
      <c r="I3" s="28"/>
      <c r="J3" s="28"/>
    </row>
    <row r="4" spans="6:20" x14ac:dyDescent="0.35">
      <c r="F4" s="13"/>
      <c r="G4" t="s">
        <v>3</v>
      </c>
      <c r="H4" t="s">
        <v>17</v>
      </c>
      <c r="I4" t="s">
        <v>18</v>
      </c>
      <c r="J4" t="s">
        <v>11</v>
      </c>
    </row>
    <row r="5" spans="6:20" x14ac:dyDescent="0.35">
      <c r="G5" s="3" t="s">
        <v>20</v>
      </c>
      <c r="H5" s="1">
        <f>SUMIF('Purchase entry'!I3:I7,Table7[[#This Row],[Item]],'Purchase entry'!J3:J7)</f>
        <v>25</v>
      </c>
      <c r="I5" s="1">
        <f>SUMIF('sale entry'!I3:I7,Table7[[#This Row],[Item]],'sale entry'!J3:J7)</f>
        <v>21</v>
      </c>
      <c r="J5" s="1">
        <f>Table7[[#This Row],[P Qty]]-Table7[[#This Row],[S Qty]]</f>
        <v>4</v>
      </c>
    </row>
    <row r="6" spans="6:20" x14ac:dyDescent="0.35">
      <c r="G6" s="3" t="s">
        <v>21</v>
      </c>
      <c r="H6" s="1">
        <f>SUMIF('Purchase entry'!I3:I7,Table7[[#This Row],[Item]],'Purchase entry'!J3:J7)</f>
        <v>50</v>
      </c>
      <c r="I6" s="1">
        <f>SUMIF('sale entry'!I3:I7,Table7[[#This Row],[Item]],'sale entry'!J3:J7)</f>
        <v>10</v>
      </c>
      <c r="J6" s="1">
        <f>Table7[[#This Row],[P Qty]]-Table7[[#This Row],[S Qty]]</f>
        <v>40</v>
      </c>
      <c r="L6" t="s">
        <v>8</v>
      </c>
    </row>
    <row r="7" spans="6:20" x14ac:dyDescent="0.35">
      <c r="G7" s="3" t="s">
        <v>19</v>
      </c>
      <c r="H7" s="1">
        <f>SUMIF('Purchase entry'!I3:I7,Table7[[#This Row],[Item]],'Purchase entry'!J3:J7)</f>
        <v>25</v>
      </c>
      <c r="I7" s="1">
        <f>SUMIF('sale entry'!I3:I7,Table7[[#This Row],[Item]],'sale entry'!J3:J7)</f>
        <v>20</v>
      </c>
      <c r="J7" s="1">
        <f>Table7[[#This Row],[P Qty]]-Table7[[#This Row],[S Qty]]</f>
        <v>5</v>
      </c>
      <c r="L7" t="str">
        <f>"&lt;&gt;"</f>
        <v>&lt;&gt;</v>
      </c>
    </row>
    <row r="8" spans="6:20" x14ac:dyDescent="0.35">
      <c r="G8" s="3" t="s">
        <v>16</v>
      </c>
      <c r="H8" s="1">
        <f>SUMIF('Purchase entry'!I3:I7,Table7[[#This Row],[Item]],'Purchase entry'!J3:J7)</f>
        <v>20</v>
      </c>
      <c r="I8" s="1">
        <f>SUMIF('sale entry'!I3:I7,Table7[[#This Row],[Item]],'sale entry'!J3:J7)</f>
        <v>8</v>
      </c>
      <c r="J8" s="27">
        <f>Table7[[#This Row],[P Qty]]-Table7[[#This Row],[S Qty]]</f>
        <v>12</v>
      </c>
    </row>
    <row r="9" spans="6:20" x14ac:dyDescent="0.35">
      <c r="G9" s="1"/>
      <c r="H9" s="1"/>
      <c r="I9" s="1"/>
      <c r="J9" s="27">
        <f>Table7[[#This Row],[P Qty]]-Table7[[#This Row],[S Qty]]</f>
        <v>0</v>
      </c>
    </row>
    <row r="10" spans="6:20" x14ac:dyDescent="0.35">
      <c r="G10" s="1"/>
      <c r="H10" s="1"/>
      <c r="I10" s="1"/>
      <c r="J10" s="1">
        <f>Table7[[#This Row],[P Qty]]-Table7[[#This Row],[S Qty]]</f>
        <v>0</v>
      </c>
    </row>
    <row r="11" spans="6:20" x14ac:dyDescent="0.35">
      <c r="G11" s="1"/>
      <c r="H11" s="1"/>
      <c r="I11" s="1"/>
      <c r="J11" s="1">
        <f>Table7[[#This Row],[P Qty]]-Table7[[#This Row],[S Qty]]</f>
        <v>0</v>
      </c>
    </row>
    <row r="16" spans="6:20" x14ac:dyDescent="0.35">
      <c r="P16" s="14" t="s">
        <v>6</v>
      </c>
      <c r="Q16" s="15" t="s">
        <v>7</v>
      </c>
      <c r="R16" s="15" t="s">
        <v>8</v>
      </c>
      <c r="S16" s="15" t="s">
        <v>9</v>
      </c>
      <c r="T16" s="16" t="s">
        <v>10</v>
      </c>
    </row>
    <row r="17" spans="16:20" x14ac:dyDescent="0.35">
      <c r="P17" s="1"/>
      <c r="Q17" s="2"/>
      <c r="R17" s="3"/>
      <c r="S17" s="1"/>
      <c r="T17" s="4"/>
    </row>
    <row r="18" spans="16:20" x14ac:dyDescent="0.35">
      <c r="P18" s="1">
        <v>4</v>
      </c>
      <c r="Q18" s="2">
        <v>44930</v>
      </c>
      <c r="R18" s="3" t="s">
        <v>21</v>
      </c>
      <c r="S18" s="1">
        <v>45</v>
      </c>
      <c r="T18" s="9">
        <v>60000</v>
      </c>
    </row>
    <row r="19" spans="16:20" x14ac:dyDescent="0.35">
      <c r="P19" s="1">
        <v>2</v>
      </c>
      <c r="Q19" s="2">
        <v>44928</v>
      </c>
      <c r="R19" s="3" t="s">
        <v>19</v>
      </c>
      <c r="S19" s="1">
        <v>25</v>
      </c>
      <c r="T19" s="9">
        <v>80</v>
      </c>
    </row>
    <row r="20" spans="16:20" x14ac:dyDescent="0.35">
      <c r="P20" s="1">
        <v>1</v>
      </c>
      <c r="Q20" s="2">
        <v>43831</v>
      </c>
      <c r="R20" s="3" t="s">
        <v>16</v>
      </c>
      <c r="S20" s="1">
        <v>20</v>
      </c>
      <c r="T20" s="9">
        <v>30</v>
      </c>
    </row>
    <row r="22" spans="16:20" x14ac:dyDescent="0.35">
      <c r="P22" s="14" t="s">
        <v>6</v>
      </c>
      <c r="Q22" s="15" t="s">
        <v>7</v>
      </c>
      <c r="R22" s="15" t="s">
        <v>8</v>
      </c>
      <c r="S22" s="15" t="s">
        <v>9</v>
      </c>
      <c r="T22" s="16" t="s">
        <v>10</v>
      </c>
    </row>
    <row r="23" spans="16:20" x14ac:dyDescent="0.35">
      <c r="P23" s="1">
        <v>2</v>
      </c>
      <c r="Q23" s="2">
        <v>44940</v>
      </c>
      <c r="R23" s="3" t="s">
        <v>21</v>
      </c>
      <c r="S23" s="1">
        <v>5</v>
      </c>
      <c r="T23" s="9">
        <v>40000</v>
      </c>
    </row>
    <row r="24" spans="16:20" x14ac:dyDescent="0.35">
      <c r="P24" s="1">
        <v>1</v>
      </c>
      <c r="Q24" s="2">
        <v>44928</v>
      </c>
      <c r="R24" s="3" t="s">
        <v>20</v>
      </c>
      <c r="S24" s="1">
        <v>21</v>
      </c>
      <c r="T24" s="9">
        <v>750</v>
      </c>
    </row>
    <row r="25" spans="16:20" x14ac:dyDescent="0.35">
      <c r="P25" s="1"/>
      <c r="Q25" s="2"/>
      <c r="R25" s="3"/>
      <c r="S25" s="1"/>
      <c r="T25" s="9"/>
    </row>
    <row r="26" spans="16:20" x14ac:dyDescent="0.35">
      <c r="P26" s="1"/>
      <c r="Q26" s="2"/>
      <c r="R26" s="3"/>
      <c r="S26" s="1"/>
      <c r="T26" s="9"/>
    </row>
    <row r="27" spans="16:20" x14ac:dyDescent="0.35">
      <c r="P27" s="1"/>
      <c r="Q27" s="2"/>
      <c r="R27" s="3"/>
      <c r="S27" s="1"/>
      <c r="T27" s="9"/>
    </row>
    <row r="28" spans="16:20" x14ac:dyDescent="0.35">
      <c r="P28" s="1"/>
      <c r="Q28" s="2"/>
      <c r="R28" s="3"/>
      <c r="S28" s="1"/>
      <c r="T28" s="9"/>
    </row>
  </sheetData>
  <mergeCells count="1">
    <mergeCell ref="G1:J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40E9-72A2-4942-84D8-DC1EDBA4A0C5}">
  <sheetPr codeName="Sheet5"/>
  <dimension ref="G1:K32"/>
  <sheetViews>
    <sheetView workbookViewId="0"/>
  </sheetViews>
  <sheetFormatPr defaultRowHeight="14.5" x14ac:dyDescent="0.35"/>
  <sheetData>
    <row r="1" spans="7:11" ht="14.5" customHeight="1" x14ac:dyDescent="0.35">
      <c r="G1" s="26" t="s">
        <v>15</v>
      </c>
      <c r="H1" s="26"/>
      <c r="I1" s="26"/>
      <c r="J1" s="26"/>
      <c r="K1" s="26"/>
    </row>
    <row r="2" spans="7:11" x14ac:dyDescent="0.35">
      <c r="G2" s="26"/>
      <c r="H2" s="26"/>
      <c r="I2" s="26"/>
      <c r="J2" s="26"/>
      <c r="K2" s="26"/>
    </row>
    <row r="3" spans="7:11" x14ac:dyDescent="0.35">
      <c r="G3" t="s">
        <v>6</v>
      </c>
      <c r="H3" t="s">
        <v>7</v>
      </c>
      <c r="I3" t="s">
        <v>8</v>
      </c>
      <c r="J3" t="s">
        <v>9</v>
      </c>
      <c r="K3" t="s">
        <v>10</v>
      </c>
    </row>
    <row r="4" spans="7:11" x14ac:dyDescent="0.35">
      <c r="G4" s="1">
        <v>5</v>
      </c>
      <c r="H4" s="2">
        <v>44931</v>
      </c>
      <c r="I4" s="3" t="s">
        <v>20</v>
      </c>
      <c r="J4" s="1">
        <v>25</v>
      </c>
      <c r="K4" s="9">
        <v>500</v>
      </c>
    </row>
    <row r="5" spans="7:11" x14ac:dyDescent="0.35">
      <c r="G5" s="1">
        <v>4</v>
      </c>
      <c r="H5" s="2">
        <v>44930</v>
      </c>
      <c r="I5" s="3" t="s">
        <v>21</v>
      </c>
      <c r="J5" s="1">
        <v>50</v>
      </c>
      <c r="K5" s="9">
        <v>60000</v>
      </c>
    </row>
    <row r="6" spans="7:11" x14ac:dyDescent="0.35">
      <c r="G6" s="1">
        <v>2</v>
      </c>
      <c r="H6" s="2">
        <v>44928</v>
      </c>
      <c r="I6" s="3" t="s">
        <v>19</v>
      </c>
      <c r="J6" s="1">
        <v>25</v>
      </c>
      <c r="K6" s="9">
        <v>80</v>
      </c>
    </row>
    <row r="7" spans="7:11" x14ac:dyDescent="0.35">
      <c r="G7" s="1">
        <v>1</v>
      </c>
      <c r="H7" s="2">
        <v>43831</v>
      </c>
      <c r="I7" s="3" t="s">
        <v>16</v>
      </c>
      <c r="J7" s="1">
        <v>20</v>
      </c>
      <c r="K7" s="9">
        <v>30</v>
      </c>
    </row>
    <row r="8" spans="7:11" x14ac:dyDescent="0.35">
      <c r="G8" s="1"/>
      <c r="H8" s="2"/>
      <c r="I8" s="3"/>
      <c r="J8" s="1"/>
      <c r="K8" s="1"/>
    </row>
    <row r="9" spans="7:11" x14ac:dyDescent="0.35">
      <c r="G9" s="1"/>
      <c r="H9" s="2"/>
      <c r="I9" s="3"/>
      <c r="J9" s="1"/>
      <c r="K9" s="1"/>
    </row>
    <row r="10" spans="7:11" x14ac:dyDescent="0.35">
      <c r="G10" s="1"/>
      <c r="H10" s="2"/>
      <c r="I10" s="3"/>
      <c r="J10" s="1"/>
      <c r="K10" s="1"/>
    </row>
    <row r="11" spans="7:11" x14ac:dyDescent="0.35">
      <c r="G11" s="1"/>
      <c r="H11" s="2"/>
      <c r="I11" s="3"/>
      <c r="J11" s="1"/>
      <c r="K11" s="1"/>
    </row>
    <row r="12" spans="7:11" x14ac:dyDescent="0.35">
      <c r="G12" s="1"/>
      <c r="H12" s="2"/>
      <c r="I12" s="3"/>
      <c r="J12" s="1"/>
      <c r="K12" s="8"/>
    </row>
    <row r="13" spans="7:11" x14ac:dyDescent="0.35">
      <c r="G13" s="1"/>
      <c r="H13" s="2"/>
      <c r="I13" s="3"/>
      <c r="J13" s="1"/>
      <c r="K13" s="4"/>
    </row>
    <row r="14" spans="7:11" x14ac:dyDescent="0.35">
      <c r="G14" s="1"/>
      <c r="H14" s="2"/>
      <c r="I14" s="3"/>
      <c r="J14" s="1"/>
      <c r="K14" s="4"/>
    </row>
    <row r="15" spans="7:11" x14ac:dyDescent="0.35">
      <c r="G15" s="1"/>
      <c r="H15" s="2"/>
      <c r="I15" s="3"/>
      <c r="J15" s="1"/>
      <c r="K15" s="4"/>
    </row>
    <row r="16" spans="7:11" x14ac:dyDescent="0.35">
      <c r="G16" s="1"/>
      <c r="H16" s="2"/>
      <c r="I16" s="3"/>
      <c r="J16" s="1"/>
      <c r="K16" s="9"/>
    </row>
    <row r="17" spans="7:11" x14ac:dyDescent="0.35">
      <c r="G17" s="1"/>
      <c r="H17" s="2"/>
      <c r="I17" s="3"/>
      <c r="J17" s="1"/>
      <c r="K17" s="9"/>
    </row>
    <row r="18" spans="7:11" x14ac:dyDescent="0.35">
      <c r="G18" s="1"/>
      <c r="H18" s="2"/>
      <c r="I18" s="3"/>
      <c r="J18" s="1"/>
      <c r="K18" s="4"/>
    </row>
    <row r="19" spans="7:11" x14ac:dyDescent="0.35">
      <c r="G19" s="1"/>
      <c r="H19" s="2"/>
      <c r="I19" s="3"/>
      <c r="J19" s="1"/>
      <c r="K19" s="4"/>
    </row>
    <row r="20" spans="7:11" x14ac:dyDescent="0.35">
      <c r="G20" s="1"/>
      <c r="H20" s="2"/>
      <c r="I20" s="3"/>
      <c r="J20" s="1"/>
      <c r="K20" s="4"/>
    </row>
    <row r="21" spans="7:11" x14ac:dyDescent="0.35">
      <c r="G21" s="1"/>
      <c r="H21" s="2"/>
      <c r="I21" s="3"/>
      <c r="J21" s="1"/>
      <c r="K21" s="4"/>
    </row>
    <row r="22" spans="7:11" x14ac:dyDescent="0.35">
      <c r="G22" s="1"/>
      <c r="H22" s="2"/>
      <c r="I22" s="3"/>
      <c r="J22" s="1"/>
      <c r="K22" s="4"/>
    </row>
    <row r="23" spans="7:11" x14ac:dyDescent="0.35">
      <c r="G23" s="1"/>
      <c r="H23" s="2"/>
      <c r="I23" s="3"/>
      <c r="J23" s="1"/>
      <c r="K23" s="4"/>
    </row>
    <row r="24" spans="7:11" x14ac:dyDescent="0.35">
      <c r="G24" s="1"/>
      <c r="H24" s="2"/>
      <c r="I24" s="3"/>
      <c r="J24" s="1"/>
      <c r="K24" s="4"/>
    </row>
    <row r="25" spans="7:11" x14ac:dyDescent="0.35">
      <c r="G25" s="1"/>
      <c r="H25" s="2"/>
      <c r="I25" s="3"/>
      <c r="J25" s="1"/>
      <c r="K25" s="4"/>
    </row>
    <row r="26" spans="7:11" x14ac:dyDescent="0.35">
      <c r="G26" s="1"/>
      <c r="H26" s="2"/>
      <c r="I26" s="3"/>
      <c r="J26" s="1"/>
      <c r="K26" s="4"/>
    </row>
    <row r="27" spans="7:11" x14ac:dyDescent="0.35">
      <c r="G27" s="1"/>
      <c r="H27" s="2"/>
      <c r="I27" s="3"/>
      <c r="J27" s="1"/>
      <c r="K27" s="4"/>
    </row>
    <row r="28" spans="7:11" x14ac:dyDescent="0.35">
      <c r="G28" s="1"/>
      <c r="H28" s="2"/>
      <c r="I28" s="3"/>
      <c r="J28" s="1"/>
      <c r="K28" s="4"/>
    </row>
    <row r="29" spans="7:11" x14ac:dyDescent="0.35">
      <c r="G29" s="1"/>
      <c r="H29" s="2"/>
      <c r="I29" s="3"/>
      <c r="J29" s="1"/>
      <c r="K29" s="4"/>
    </row>
    <row r="30" spans="7:11" x14ac:dyDescent="0.35">
      <c r="G30" s="1"/>
      <c r="H30" s="2"/>
      <c r="I30" s="3"/>
      <c r="J30" s="1"/>
      <c r="K30" s="4"/>
    </row>
    <row r="31" spans="7:11" x14ac:dyDescent="0.35">
      <c r="G31" s="5"/>
      <c r="H31" s="6"/>
      <c r="I31" s="7"/>
      <c r="J31" s="5"/>
      <c r="K31" s="8"/>
    </row>
    <row r="32" spans="7:11" x14ac:dyDescent="0.35">
      <c r="G32" s="1"/>
      <c r="H32" s="2"/>
      <c r="I32" s="3"/>
      <c r="J32" s="1"/>
      <c r="K32" s="4"/>
    </row>
  </sheetData>
  <mergeCells count="1">
    <mergeCell ref="G1:K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sale entry</vt:lpstr>
      <vt:lpstr>Stock</vt:lpstr>
      <vt:lpstr>Purchase entry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Vani</dc:creator>
  <cp:lastModifiedBy>Vani</cp:lastModifiedBy>
  <dcterms:created xsi:type="dcterms:W3CDTF">2023-04-18T04:28:52Z</dcterms:created>
  <dcterms:modified xsi:type="dcterms:W3CDTF">2023-04-18T18:20:39Z</dcterms:modified>
</cp:coreProperties>
</file>